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actical Set C\Data_Analysis_Set_C\excel\"/>
    </mc:Choice>
  </mc:AlternateContent>
  <bookViews>
    <workbookView xWindow="0" yWindow="0" windowWidth="23040" windowHeight="9192" tabRatio="500"/>
  </bookViews>
  <sheets>
    <sheet name="Raw" sheetId="1" r:id="rId1"/>
    <sheet name="Lookup" sheetId="2" r:id="rId2"/>
    <sheet name="Clean" sheetId="3" r:id="rId3"/>
    <sheet name="Summary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4" l="1"/>
  <c r="C25" i="4"/>
  <c r="B25" i="4"/>
  <c r="A25" i="4"/>
  <c r="F24" i="4"/>
  <c r="C24" i="4"/>
  <c r="B24" i="4"/>
  <c r="A24" i="4"/>
  <c r="F23" i="4"/>
  <c r="C23" i="4"/>
  <c r="B23" i="4"/>
  <c r="A23" i="4"/>
  <c r="F22" i="4"/>
  <c r="C22" i="4"/>
  <c r="B22" i="4"/>
  <c r="A22" i="4"/>
  <c r="E18" i="4"/>
  <c r="D18" i="4"/>
  <c r="C18" i="4"/>
  <c r="B18" i="4"/>
  <c r="C11" i="4"/>
  <c r="C10" i="4"/>
  <c r="C9" i="4"/>
  <c r="C12" i="4" s="1"/>
  <c r="C5" i="4"/>
  <c r="A5" i="4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B11" i="4" s="1"/>
  <c r="D11" i="4" s="1"/>
  <c r="G5" i="3"/>
  <c r="H4" i="3"/>
  <c r="D24" i="4" s="1"/>
  <c r="E24" i="4" s="1"/>
  <c r="G4" i="3"/>
  <c r="K3" i="3"/>
  <c r="H3" i="3"/>
  <c r="D23" i="4" s="1"/>
  <c r="G3" i="3"/>
  <c r="K2" i="3"/>
  <c r="K4" i="3" s="1"/>
  <c r="G5" i="4" s="1"/>
  <c r="H2" i="3"/>
  <c r="E5" i="4" s="1"/>
  <c r="G2" i="3"/>
  <c r="D17" i="4" s="1"/>
  <c r="I2" i="1"/>
  <c r="E23" i="4" l="1"/>
  <c r="B10" i="4"/>
  <c r="D10" i="4" s="1"/>
  <c r="E16" i="4"/>
  <c r="E17" i="4"/>
  <c r="D22" i="4"/>
  <c r="E22" i="4" s="1"/>
  <c r="B9" i="4"/>
  <c r="B12" i="4" s="1"/>
  <c r="D12" i="4" s="1"/>
  <c r="B16" i="4"/>
  <c r="B17" i="4"/>
  <c r="C16" i="4"/>
  <c r="C17" i="4"/>
  <c r="D25" i="4"/>
  <c r="E25" i="4" s="1"/>
  <c r="D9" i="4"/>
  <c r="D16" i="4"/>
  <c r="F26" i="4" l="1"/>
  <c r="E26" i="4"/>
  <c r="D26" i="4"/>
</calcChain>
</file>

<file path=xl/sharedStrings.xml><?xml version="1.0" encoding="utf-8"?>
<sst xmlns="http://schemas.openxmlformats.org/spreadsheetml/2006/main" count="148" uniqueCount="58">
  <si>
    <t>assessment_id</t>
  </si>
  <si>
    <t>month</t>
  </si>
  <si>
    <t>course_id</t>
  </si>
  <si>
    <t>batch</t>
  </si>
  <si>
    <t>score</t>
  </si>
  <si>
    <t>attendance_pct</t>
  </si>
  <si>
    <t>Notes</t>
  </si>
  <si>
    <t>Jan</t>
  </si>
  <si>
    <t>C1</t>
  </si>
  <si>
    <t>Morning</t>
  </si>
  <si>
    <t>Raw count (rows)</t>
  </si>
  <si>
    <t>C2</t>
  </si>
  <si>
    <t>Evening</t>
  </si>
  <si>
    <t>Row 14 (shaded) is an exact duplicate of row 13 - removed in the Clean sheet.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</si>
  <si>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</si>
  <si>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</si>
  <si>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</si>
  <si>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</si>
  <si>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</si>
  <si>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</si>
  <si>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</si>
  <si>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</si>
  <si>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</si>
  <si>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</si>
  <si>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</si>
  <si>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</si>
  <si>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</si>
  <si>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pass_flag</t>
  </si>
  <si>
    <t>Row-count check</t>
  </si>
  <si>
    <t>Rows</t>
  </si>
  <si>
    <t>Before (Raw)</t>
  </si>
  <si>
    <t>After (Clean)</t>
  </si>
  <si>
    <t>Duplicates removed</t>
  </si>
  <si>
    <t>department = INDEX/MATCH on Lookup (XLOOKUP equivalent); pass_flag = IF(score&gt;=50,1,0).</t>
  </si>
  <si>
    <t>Training Performance Analysis - Summary (Set C)</t>
  </si>
  <si>
    <t>Business question: which course needs the most academic support, and how does performance differ across batches?  (12 clean assessments; pass = score &gt;= 50)</t>
  </si>
  <si>
    <t>Assessments (clean)</t>
  </si>
  <si>
    <t>Average Score</t>
  </si>
  <si>
    <t>Overall Pass Rate</t>
  </si>
  <si>
    <t>Rows Removed</t>
  </si>
  <si>
    <t>1. Passing assessments by batch (COUNTIFS)</t>
  </si>
  <si>
    <t>Batch</t>
  </si>
  <si>
    <t>Passing (pass_flag=1)</t>
  </si>
  <si>
    <t>Total Assessments</t>
  </si>
  <si>
    <t>Pass Rate</t>
  </si>
  <si>
    <t>Total</t>
  </si>
  <si>
    <t>2. Average score by department and month (PivotTable-style cross-tab, live formulas)</t>
  </si>
  <si>
    <t>Department</t>
  </si>
  <si>
    <t>Overall</t>
  </si>
  <si>
    <t>All departments</t>
  </si>
  <si>
    <t>3. Course performance - which course needs the most support?</t>
  </si>
  <si>
    <t>Course</t>
  </si>
  <si>
    <t>Passing</t>
  </si>
  <si>
    <t>Avg Score</t>
  </si>
  <si>
    <t>Lowest pass-rate course (needs most support):</t>
  </si>
  <si>
    <t>If courses tie for the lowest rate, the first is shown; compare the Pass Rate column for ties.</t>
  </si>
  <si>
    <t>4. Chart - average score by department and month</t>
  </si>
  <si>
    <t>Notes: Cross-tab above uses AVERAGEIFS so it stays live and error-free; to add a native PivotTable select Clean!A1:H13 &gt; Insert &gt; PivotTable (Rows: department, Columns: month, Values: Average of score).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</si>
</sst>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color rgb="FFC00000"/>
      <name val="Arial"/>
      <charset val="1"/>
    </font>
    <font>
      <i/>
      <sz val="9"/>
      <color rgb="FF595959"/>
      <name val="Arial"/>
      <charset val="1"/>
    </font>
    <font>
      <b/>
      <sz val="18"/>
      <color rgb="FFFFFFFF"/>
      <name val="Arial"/>
      <charset val="1"/>
    </font>
    <font>
      <b/>
      <sz val="9"/>
      <color rgb="FFFFFFFF"/>
      <name val="Arial"/>
      <charset val="1"/>
    </font>
    <font>
      <b/>
      <sz val="18"/>
      <color rgb="FF1F3864"/>
      <name val="Arial"/>
      <charset val="1"/>
    </font>
    <font>
      <b/>
      <sz val="12"/>
      <color rgb="FF1F3864"/>
      <name val="Arial"/>
      <charset val="1"/>
    </font>
    <font>
      <b/>
      <sz val="10"/>
      <color rgb="FFC00000"/>
      <name val="Arial"/>
      <charset val="1"/>
    </font>
    <font>
      <b/>
      <sz val="11"/>
      <color rgb="FFC00000"/>
      <name val="Arial"/>
      <charset val="1"/>
    </font>
    <font>
      <i/>
      <sz val="8"/>
      <color rgb="FF7F7F7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2E75B6"/>
      </patternFill>
    </fill>
    <fill>
      <patternFill patternType="solid">
        <fgColor rgb="FFFCE4D6"/>
        <bgColor rgb="FFD9D9D9"/>
      </patternFill>
    </fill>
    <fill>
      <patternFill patternType="solid">
        <fgColor rgb="FFD9E2F3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2" fillId="0" borderId="0" xfId="0" applyFont="1" applyBorder="1" applyAlignment="1">
      <alignment vertical="top" wrapText="1"/>
    </xf>
    <xf numFmtId="0" fontId="10" fillId="0" borderId="0" xfId="0" applyFont="1" applyBorder="1"/>
    <xf numFmtId="0" fontId="9" fillId="0" borderId="2" xfId="0" applyFont="1" applyBorder="1"/>
    <xf numFmtId="10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 indent="1"/>
    </xf>
    <xf numFmtId="0" fontId="6" fillId="2" borderId="0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7" fillId="3" borderId="1" xfId="0" applyFont="1" applyFill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0" fontId="3" fillId="5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10" fontId="11" fillId="0" borderId="0" xfId="0" applyNumberFormat="1" applyFon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CE4D6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Score by Department and Month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Summary!$B$15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Summary!$A$16:$A$17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Summary!$B$16:$B$17</c:f>
              <c:numCache>
                <c:formatCode>0.00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9-435F-A58E-BCC85D25204A}"/>
            </c:ext>
          </c:extLst>
        </c:ser>
        <c:ser>
          <c:idx val="1"/>
          <c:order val="1"/>
          <c:tx>
            <c:strRef>
              <c:f>Summary!$C$15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Summary!$A$16:$A$17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Summary!$C$16:$C$17</c:f>
              <c:numCache>
                <c:formatCode>0.00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9-435F-A58E-BCC85D25204A}"/>
            </c:ext>
          </c:extLst>
        </c:ser>
        <c:ser>
          <c:idx val="2"/>
          <c:order val="2"/>
          <c:tx>
            <c:strRef>
              <c:f>Summary!$D$15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Summary!$A$16:$A$17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Summary!$D$16:$D$17</c:f>
              <c:numCache>
                <c:formatCode>0.00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D9-435F-A58E-BCC85D252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39559189"/>
        <c:axId val="34036064"/>
      </c:barChart>
      <c:catAx>
        <c:axId val="395591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36064"/>
        <c:crosses val="autoZero"/>
        <c:auto val="1"/>
        <c:lblAlgn val="ctr"/>
        <c:lblOffset val="100"/>
        <c:noMultiLvlLbl val="0"/>
      </c:catAx>
      <c:valAx>
        <c:axId val="34036064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Average Score (0-100)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559189"/>
        <c:crosses val="autoZero"/>
        <c:crossBetween val="between"/>
        <c:majorUnit val="20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6</xdr:col>
      <xdr:colOff>433080</xdr:colOff>
      <xdr:row>46</xdr:row>
      <xdr:rowOff>1080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10" customWidth="1"/>
    <col min="3" max="3" width="11" customWidth="1"/>
    <col min="4" max="4" width="12" customWidth="1"/>
    <col min="5" max="5" width="9" customWidth="1"/>
    <col min="6" max="6" width="15" customWidth="1"/>
    <col min="7" max="7" width="3" customWidth="1"/>
    <col min="8" max="8" width="24" customWidth="1"/>
    <col min="9" max="9" width="10" customWidth="1"/>
  </cols>
  <sheetData>
    <row r="1" spans="1:9" ht="27.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H1" s="11" t="s">
        <v>6</v>
      </c>
    </row>
    <row r="2" spans="1:9" x14ac:dyDescent="0.3">
      <c r="A2" s="12">
        <v>1</v>
      </c>
      <c r="B2" s="13" t="s">
        <v>7</v>
      </c>
      <c r="C2" s="13" t="s">
        <v>8</v>
      </c>
      <c r="D2" s="13" t="s">
        <v>9</v>
      </c>
      <c r="E2" s="12">
        <v>72</v>
      </c>
      <c r="F2" s="12">
        <v>90</v>
      </c>
      <c r="H2" s="14" t="s">
        <v>10</v>
      </c>
      <c r="I2" s="15">
        <f>COUNTA(A2:A14)</f>
        <v>13</v>
      </c>
    </row>
    <row r="3" spans="1:9" x14ac:dyDescent="0.3">
      <c r="A3" s="12">
        <v>2</v>
      </c>
      <c r="B3" s="13" t="s">
        <v>7</v>
      </c>
      <c r="C3" s="13" t="s">
        <v>11</v>
      </c>
      <c r="D3" s="13" t="s">
        <v>12</v>
      </c>
      <c r="E3" s="12">
        <v>45</v>
      </c>
      <c r="F3" s="12">
        <v>70</v>
      </c>
      <c r="H3" s="16" t="s">
        <v>13</v>
      </c>
    </row>
    <row r="4" spans="1:9" x14ac:dyDescent="0.3">
      <c r="A4" s="12">
        <v>3</v>
      </c>
      <c r="B4" s="13" t="s">
        <v>7</v>
      </c>
      <c r="C4" s="13" t="s">
        <v>14</v>
      </c>
      <c r="D4" s="13" t="s">
        <v>9</v>
      </c>
      <c r="E4" s="12">
        <v>65</v>
      </c>
      <c r="F4" s="12">
        <v>85</v>
      </c>
    </row>
    <row r="5" spans="1:9" x14ac:dyDescent="0.3">
      <c r="A5" s="12">
        <v>4</v>
      </c>
      <c r="B5" s="13" t="s">
        <v>7</v>
      </c>
      <c r="C5" s="13" t="s">
        <v>15</v>
      </c>
      <c r="D5" s="13" t="s">
        <v>16</v>
      </c>
      <c r="E5" s="12">
        <v>38</v>
      </c>
      <c r="F5" s="12">
        <v>60</v>
      </c>
    </row>
    <row r="6" spans="1:9" x14ac:dyDescent="0.3">
      <c r="A6" s="12">
        <v>5</v>
      </c>
      <c r="B6" s="13" t="s">
        <v>17</v>
      </c>
      <c r="C6" s="13" t="s">
        <v>8</v>
      </c>
      <c r="D6" s="13" t="s">
        <v>12</v>
      </c>
      <c r="E6" s="12">
        <v>80</v>
      </c>
      <c r="F6" s="12">
        <v>95</v>
      </c>
    </row>
    <row r="7" spans="1:9" x14ac:dyDescent="0.3">
      <c r="A7" s="12">
        <v>6</v>
      </c>
      <c r="B7" s="13" t="s">
        <v>17</v>
      </c>
      <c r="C7" s="13" t="s">
        <v>11</v>
      </c>
      <c r="D7" s="13" t="s">
        <v>16</v>
      </c>
      <c r="E7" s="12">
        <v>55</v>
      </c>
      <c r="F7" s="12">
        <v>80</v>
      </c>
    </row>
    <row r="8" spans="1:9" x14ac:dyDescent="0.3">
      <c r="A8" s="12">
        <v>7</v>
      </c>
      <c r="B8" s="13" t="s">
        <v>17</v>
      </c>
      <c r="C8" s="13" t="s">
        <v>14</v>
      </c>
      <c r="D8" s="13" t="s">
        <v>9</v>
      </c>
      <c r="E8" s="12">
        <v>48</v>
      </c>
      <c r="F8" s="12">
        <v>75</v>
      </c>
    </row>
    <row r="9" spans="1:9" x14ac:dyDescent="0.3">
      <c r="A9" s="12">
        <v>8</v>
      </c>
      <c r="B9" s="13" t="s">
        <v>17</v>
      </c>
      <c r="C9" s="13" t="s">
        <v>15</v>
      </c>
      <c r="D9" s="13" t="s">
        <v>12</v>
      </c>
      <c r="E9" s="12">
        <v>68</v>
      </c>
      <c r="F9" s="12">
        <v>88</v>
      </c>
    </row>
    <row r="10" spans="1:9" x14ac:dyDescent="0.3">
      <c r="A10" s="12">
        <v>9</v>
      </c>
      <c r="B10" s="13" t="s">
        <v>18</v>
      </c>
      <c r="C10" s="13" t="s">
        <v>8</v>
      </c>
      <c r="D10" s="13" t="s">
        <v>16</v>
      </c>
      <c r="E10" s="12">
        <v>90</v>
      </c>
      <c r="F10" s="12">
        <v>98</v>
      </c>
    </row>
    <row r="11" spans="1:9" x14ac:dyDescent="0.3">
      <c r="A11" s="12">
        <v>10</v>
      </c>
      <c r="B11" s="13" t="s">
        <v>18</v>
      </c>
      <c r="C11" s="13" t="s">
        <v>11</v>
      </c>
      <c r="D11" s="13" t="s">
        <v>9</v>
      </c>
      <c r="E11" s="12">
        <v>60</v>
      </c>
      <c r="F11" s="12">
        <v>82</v>
      </c>
    </row>
    <row r="12" spans="1:9" x14ac:dyDescent="0.3">
      <c r="A12" s="12">
        <v>11</v>
      </c>
      <c r="B12" s="13" t="s">
        <v>18</v>
      </c>
      <c r="C12" s="13" t="s">
        <v>14</v>
      </c>
      <c r="D12" s="13" t="s">
        <v>12</v>
      </c>
      <c r="E12" s="12">
        <v>75</v>
      </c>
      <c r="F12" s="12">
        <v>92</v>
      </c>
    </row>
    <row r="13" spans="1:9" x14ac:dyDescent="0.3">
      <c r="A13" s="12">
        <v>12</v>
      </c>
      <c r="B13" s="13" t="s">
        <v>18</v>
      </c>
      <c r="C13" s="13" t="s">
        <v>15</v>
      </c>
      <c r="D13" s="13" t="s">
        <v>16</v>
      </c>
      <c r="E13" s="12">
        <v>42</v>
      </c>
      <c r="F13" s="12">
        <v>65</v>
      </c>
    </row>
    <row r="14" spans="1:9" x14ac:dyDescent="0.3">
      <c r="A14" s="17">
        <v>12</v>
      </c>
      <c r="B14" s="18" t="s">
        <v>18</v>
      </c>
      <c r="C14" s="18" t="s">
        <v>15</v>
      </c>
      <c r="D14" s="18" t="s">
        <v>16</v>
      </c>
      <c r="E14" s="17">
        <v>42</v>
      </c>
      <c r="F14" s="17">
        <v>65</v>
      </c>
    </row>
  </sheetData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4" customWidth="1"/>
    <col min="3" max="3" width="16" customWidth="1"/>
  </cols>
  <sheetData>
    <row r="1" spans="1:3" x14ac:dyDescent="0.3">
      <c r="A1" s="10" t="s">
        <v>2</v>
      </c>
      <c r="B1" s="10" t="s">
        <v>19</v>
      </c>
      <c r="C1" s="10" t="s">
        <v>20</v>
      </c>
    </row>
    <row r="2" spans="1:3" x14ac:dyDescent="0.3">
      <c r="A2" s="13" t="s">
        <v>8</v>
      </c>
      <c r="B2" s="19" t="s">
        <v>21</v>
      </c>
      <c r="C2" s="19" t="s">
        <v>22</v>
      </c>
    </row>
    <row r="3" spans="1:3" x14ac:dyDescent="0.3">
      <c r="A3" s="13" t="s">
        <v>11</v>
      </c>
      <c r="B3" s="19" t="s">
        <v>23</v>
      </c>
      <c r="C3" s="19" t="s">
        <v>22</v>
      </c>
    </row>
    <row r="4" spans="1:3" x14ac:dyDescent="0.3">
      <c r="A4" s="13" t="s">
        <v>14</v>
      </c>
      <c r="B4" s="19" t="s">
        <v>24</v>
      </c>
      <c r="C4" s="19" t="s">
        <v>25</v>
      </c>
    </row>
    <row r="5" spans="1:3" x14ac:dyDescent="0.3">
      <c r="A5" s="13" t="s">
        <v>15</v>
      </c>
      <c r="B5" s="19" t="s">
        <v>26</v>
      </c>
      <c r="C5" s="19" t="s">
        <v>25</v>
      </c>
    </row>
  </sheetData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10" customWidth="1"/>
    <col min="3" max="3" width="11" customWidth="1"/>
    <col min="4" max="4" width="12" customWidth="1"/>
    <col min="5" max="5" width="9" customWidth="1"/>
    <col min="6" max="6" width="15" customWidth="1"/>
    <col min="7" max="7" width="14" customWidth="1"/>
    <col min="8" max="8" width="11" customWidth="1"/>
    <col min="9" max="9" width="3" customWidth="1"/>
    <col min="10" max="10" width="22" customWidth="1"/>
    <col min="11" max="11" width="9" customWidth="1"/>
  </cols>
  <sheetData>
    <row r="1" spans="1:11" ht="27.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20</v>
      </c>
      <c r="H1" s="10" t="s">
        <v>27</v>
      </c>
      <c r="J1" s="11" t="s">
        <v>28</v>
      </c>
      <c r="K1" s="11" t="s">
        <v>29</v>
      </c>
    </row>
    <row r="2" spans="1:11" x14ac:dyDescent="0.3">
      <c r="A2" s="12">
        <v>1</v>
      </c>
      <c r="B2" s="13" t="s">
        <v>7</v>
      </c>
      <c r="C2" s="13" t="s">
        <v>8</v>
      </c>
      <c r="D2" s="13" t="s">
        <v>9</v>
      </c>
      <c r="E2" s="12">
        <v>72</v>
      </c>
      <c r="F2" s="12">
        <v>90</v>
      </c>
      <c r="G2" s="13" t="str">
        <f>INDEX(Lookup!$C$2:$C$5,MATCH(C2,Lookup!$A$2:$A$5,0))</f>
        <v>Business</v>
      </c>
      <c r="H2" s="12">
        <f t="shared" ref="H2:H13" si="0">IF(E2&gt;=50,1,0)</f>
        <v>1</v>
      </c>
      <c r="J2" s="14" t="s">
        <v>30</v>
      </c>
      <c r="K2" s="20">
        <f>COUNTA(Raw!A2:A14)</f>
        <v>13</v>
      </c>
    </row>
    <row r="3" spans="1:11" x14ac:dyDescent="0.3">
      <c r="A3" s="12">
        <v>2</v>
      </c>
      <c r="B3" s="13" t="s">
        <v>7</v>
      </c>
      <c r="C3" s="13" t="s">
        <v>11</v>
      </c>
      <c r="D3" s="13" t="s">
        <v>12</v>
      </c>
      <c r="E3" s="12">
        <v>45</v>
      </c>
      <c r="F3" s="12">
        <v>70</v>
      </c>
      <c r="G3" s="13" t="str">
        <f>INDEX(Lookup!$C$2:$C$5,MATCH(C3,Lookup!$A$2:$A$5,0))</f>
        <v>Business</v>
      </c>
      <c r="H3" s="12">
        <f t="shared" si="0"/>
        <v>0</v>
      </c>
      <c r="J3" s="14" t="s">
        <v>31</v>
      </c>
      <c r="K3" s="20">
        <f>COUNTA(A2:A13)</f>
        <v>12</v>
      </c>
    </row>
    <row r="4" spans="1:11" x14ac:dyDescent="0.3">
      <c r="A4" s="12">
        <v>3</v>
      </c>
      <c r="B4" s="13" t="s">
        <v>7</v>
      </c>
      <c r="C4" s="13" t="s">
        <v>14</v>
      </c>
      <c r="D4" s="13" t="s">
        <v>9</v>
      </c>
      <c r="E4" s="12">
        <v>65</v>
      </c>
      <c r="F4" s="12">
        <v>85</v>
      </c>
      <c r="G4" s="13" t="str">
        <f>INDEX(Lookup!$C$2:$C$5,MATCH(C4,Lookup!$A$2:$A$5,0))</f>
        <v>Technology</v>
      </c>
      <c r="H4" s="12">
        <f t="shared" si="0"/>
        <v>1</v>
      </c>
      <c r="J4" s="14" t="s">
        <v>32</v>
      </c>
      <c r="K4" s="20">
        <f>K2-K3</f>
        <v>1</v>
      </c>
    </row>
    <row r="5" spans="1:11" x14ac:dyDescent="0.3">
      <c r="A5" s="12">
        <v>4</v>
      </c>
      <c r="B5" s="13" t="s">
        <v>7</v>
      </c>
      <c r="C5" s="13" t="s">
        <v>15</v>
      </c>
      <c r="D5" s="13" t="s">
        <v>16</v>
      </c>
      <c r="E5" s="12">
        <v>38</v>
      </c>
      <c r="F5" s="12">
        <v>60</v>
      </c>
      <c r="G5" s="13" t="str">
        <f>INDEX(Lookup!$C$2:$C$5,MATCH(C5,Lookup!$A$2:$A$5,0))</f>
        <v>Technology</v>
      </c>
      <c r="H5" s="12">
        <f t="shared" si="0"/>
        <v>0</v>
      </c>
    </row>
    <row r="6" spans="1:11" x14ac:dyDescent="0.3">
      <c r="A6" s="12">
        <v>5</v>
      </c>
      <c r="B6" s="13" t="s">
        <v>17</v>
      </c>
      <c r="C6" s="13" t="s">
        <v>8</v>
      </c>
      <c r="D6" s="13" t="s">
        <v>12</v>
      </c>
      <c r="E6" s="12">
        <v>80</v>
      </c>
      <c r="F6" s="12">
        <v>95</v>
      </c>
      <c r="G6" s="13" t="str">
        <f>INDEX(Lookup!$C$2:$C$5,MATCH(C6,Lookup!$A$2:$A$5,0))</f>
        <v>Business</v>
      </c>
      <c r="H6" s="12">
        <f t="shared" si="0"/>
        <v>1</v>
      </c>
      <c r="J6" s="21" t="s">
        <v>33</v>
      </c>
    </row>
    <row r="7" spans="1:11" x14ac:dyDescent="0.3">
      <c r="A7" s="12">
        <v>6</v>
      </c>
      <c r="B7" s="13" t="s">
        <v>17</v>
      </c>
      <c r="C7" s="13" t="s">
        <v>11</v>
      </c>
      <c r="D7" s="13" t="s">
        <v>16</v>
      </c>
      <c r="E7" s="12">
        <v>55</v>
      </c>
      <c r="F7" s="12">
        <v>80</v>
      </c>
      <c r="G7" s="13" t="str">
        <f>INDEX(Lookup!$C$2:$C$5,MATCH(C7,Lookup!$A$2:$A$5,0))</f>
        <v>Business</v>
      </c>
      <c r="H7" s="12">
        <f t="shared" si="0"/>
        <v>1</v>
      </c>
    </row>
    <row r="8" spans="1:11" x14ac:dyDescent="0.3">
      <c r="A8" s="12">
        <v>7</v>
      </c>
      <c r="B8" s="13" t="s">
        <v>17</v>
      </c>
      <c r="C8" s="13" t="s">
        <v>14</v>
      </c>
      <c r="D8" s="13" t="s">
        <v>9</v>
      </c>
      <c r="E8" s="12">
        <v>48</v>
      </c>
      <c r="F8" s="12">
        <v>75</v>
      </c>
      <c r="G8" s="13" t="str">
        <f>INDEX(Lookup!$C$2:$C$5,MATCH(C8,Lookup!$A$2:$A$5,0))</f>
        <v>Technology</v>
      </c>
      <c r="H8" s="12">
        <f t="shared" si="0"/>
        <v>0</v>
      </c>
    </row>
    <row r="9" spans="1:11" x14ac:dyDescent="0.3">
      <c r="A9" s="12">
        <v>8</v>
      </c>
      <c r="B9" s="13" t="s">
        <v>17</v>
      </c>
      <c r="C9" s="13" t="s">
        <v>15</v>
      </c>
      <c r="D9" s="13" t="s">
        <v>12</v>
      </c>
      <c r="E9" s="12">
        <v>68</v>
      </c>
      <c r="F9" s="12">
        <v>88</v>
      </c>
      <c r="G9" s="13" t="str">
        <f>INDEX(Lookup!$C$2:$C$5,MATCH(C9,Lookup!$A$2:$A$5,0))</f>
        <v>Technology</v>
      </c>
      <c r="H9" s="12">
        <f t="shared" si="0"/>
        <v>1</v>
      </c>
    </row>
    <row r="10" spans="1:11" x14ac:dyDescent="0.3">
      <c r="A10" s="12">
        <v>9</v>
      </c>
      <c r="B10" s="13" t="s">
        <v>18</v>
      </c>
      <c r="C10" s="13" t="s">
        <v>8</v>
      </c>
      <c r="D10" s="13" t="s">
        <v>16</v>
      </c>
      <c r="E10" s="12">
        <v>90</v>
      </c>
      <c r="F10" s="12">
        <v>98</v>
      </c>
      <c r="G10" s="13" t="str">
        <f>INDEX(Lookup!$C$2:$C$5,MATCH(C10,Lookup!$A$2:$A$5,0))</f>
        <v>Business</v>
      </c>
      <c r="H10" s="12">
        <f t="shared" si="0"/>
        <v>1</v>
      </c>
    </row>
    <row r="11" spans="1:11" x14ac:dyDescent="0.3">
      <c r="A11" s="12">
        <v>10</v>
      </c>
      <c r="B11" s="13" t="s">
        <v>18</v>
      </c>
      <c r="C11" s="13" t="s">
        <v>11</v>
      </c>
      <c r="D11" s="13" t="s">
        <v>9</v>
      </c>
      <c r="E11" s="12">
        <v>60</v>
      </c>
      <c r="F11" s="12">
        <v>82</v>
      </c>
      <c r="G11" s="13" t="str">
        <f>INDEX(Lookup!$C$2:$C$5,MATCH(C11,Lookup!$A$2:$A$5,0))</f>
        <v>Business</v>
      </c>
      <c r="H11" s="12">
        <f t="shared" si="0"/>
        <v>1</v>
      </c>
    </row>
    <row r="12" spans="1:11" x14ac:dyDescent="0.3">
      <c r="A12" s="12">
        <v>11</v>
      </c>
      <c r="B12" s="13" t="s">
        <v>18</v>
      </c>
      <c r="C12" s="13" t="s">
        <v>14</v>
      </c>
      <c r="D12" s="13" t="s">
        <v>12</v>
      </c>
      <c r="E12" s="12">
        <v>75</v>
      </c>
      <c r="F12" s="12">
        <v>92</v>
      </c>
      <c r="G12" s="13" t="str">
        <f>INDEX(Lookup!$C$2:$C$5,MATCH(C12,Lookup!$A$2:$A$5,0))</f>
        <v>Technology</v>
      </c>
      <c r="H12" s="12">
        <f t="shared" si="0"/>
        <v>1</v>
      </c>
    </row>
    <row r="13" spans="1:11" x14ac:dyDescent="0.3">
      <c r="A13" s="12">
        <v>12</v>
      </c>
      <c r="B13" s="13" t="s">
        <v>18</v>
      </c>
      <c r="C13" s="13" t="s">
        <v>15</v>
      </c>
      <c r="D13" s="13" t="s">
        <v>16</v>
      </c>
      <c r="E13" s="12">
        <v>42</v>
      </c>
      <c r="F13" s="12">
        <v>65</v>
      </c>
      <c r="G13" s="13" t="str">
        <f>INDEX(Lookup!$C$2:$C$5,MATCH(C13,Lookup!$A$2:$A$5,0))</f>
        <v>Technology</v>
      </c>
      <c r="H13" s="12">
        <f t="shared" si="0"/>
        <v>0</v>
      </c>
    </row>
  </sheetData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26" customWidth="1"/>
    <col min="2" max="7" width="14" customWidth="1"/>
  </cols>
  <sheetData>
    <row r="1" spans="1:7" ht="33.75" customHeight="1" x14ac:dyDescent="0.3">
      <c r="A1" s="9" t="s">
        <v>34</v>
      </c>
      <c r="B1" s="9"/>
      <c r="C1" s="9"/>
      <c r="D1" s="9"/>
      <c r="E1" s="9"/>
      <c r="F1" s="9"/>
      <c r="G1" s="9"/>
    </row>
    <row r="2" spans="1:7" ht="25.5" customHeight="1" x14ac:dyDescent="0.3">
      <c r="A2" s="8" t="s">
        <v>35</v>
      </c>
      <c r="B2" s="8"/>
      <c r="C2" s="8"/>
      <c r="D2" s="8"/>
      <c r="E2" s="8"/>
      <c r="F2" s="8"/>
      <c r="G2" s="8"/>
    </row>
    <row r="4" spans="1:7" ht="21.75" customHeight="1" x14ac:dyDescent="0.3">
      <c r="A4" s="7" t="s">
        <v>36</v>
      </c>
      <c r="B4" s="7"/>
      <c r="C4" s="7" t="s">
        <v>37</v>
      </c>
      <c r="D4" s="7"/>
      <c r="E4" s="7" t="s">
        <v>38</v>
      </c>
      <c r="F4" s="7"/>
      <c r="G4" s="22" t="s">
        <v>39</v>
      </c>
    </row>
    <row r="5" spans="1:7" ht="36" customHeight="1" x14ac:dyDescent="0.3">
      <c r="A5" s="6">
        <f>COUNTA(Clean!A2:A13)</f>
        <v>12</v>
      </c>
      <c r="B5" s="6"/>
      <c r="C5" s="5">
        <f>AVERAGE(Clean!E2:E13)</f>
        <v>61.5</v>
      </c>
      <c r="D5" s="5"/>
      <c r="E5" s="4">
        <f>SUM(Clean!H2:H13)/COUNTA(Clean!A2:A13)</f>
        <v>0.66666666666666663</v>
      </c>
      <c r="F5" s="4"/>
      <c r="G5" s="23">
        <f>Clean!K4</f>
        <v>1</v>
      </c>
    </row>
    <row r="7" spans="1:7" ht="15.6" x14ac:dyDescent="0.3">
      <c r="A7" s="3" t="s">
        <v>40</v>
      </c>
      <c r="B7" s="3"/>
      <c r="C7" s="3"/>
      <c r="D7" s="3"/>
      <c r="E7" s="3"/>
      <c r="F7" s="3"/>
      <c r="G7" s="3"/>
    </row>
    <row r="8" spans="1:7" ht="30" customHeight="1" x14ac:dyDescent="0.3">
      <c r="A8" s="10" t="s">
        <v>41</v>
      </c>
      <c r="B8" s="10" t="s">
        <v>42</v>
      </c>
      <c r="C8" s="10" t="s">
        <v>43</v>
      </c>
      <c r="D8" s="10" t="s">
        <v>44</v>
      </c>
    </row>
    <row r="9" spans="1:7" x14ac:dyDescent="0.3">
      <c r="A9" s="14" t="s">
        <v>9</v>
      </c>
      <c r="B9" s="12">
        <f>COUNTIFS(Clean!$D$2:$D$13,A9,Clean!$H$2:$H$13,1)</f>
        <v>3</v>
      </c>
      <c r="C9" s="12">
        <f>COUNTIFS(Clean!$D$2:$D$13,A9)</f>
        <v>4</v>
      </c>
      <c r="D9" s="24">
        <f>IF(C9=0,0,B9/C9)</f>
        <v>0.75</v>
      </c>
    </row>
    <row r="10" spans="1:7" x14ac:dyDescent="0.3">
      <c r="A10" s="14" t="s">
        <v>12</v>
      </c>
      <c r="B10" s="12">
        <f>COUNTIFS(Clean!$D$2:$D$13,A10,Clean!$H$2:$H$13,1)</f>
        <v>3</v>
      </c>
      <c r="C10" s="12">
        <f>COUNTIFS(Clean!$D$2:$D$13,A10)</f>
        <v>4</v>
      </c>
      <c r="D10" s="24">
        <f>IF(C10=0,0,B10/C10)</f>
        <v>0.75</v>
      </c>
    </row>
    <row r="11" spans="1:7" x14ac:dyDescent="0.3">
      <c r="A11" s="14" t="s">
        <v>16</v>
      </c>
      <c r="B11" s="12">
        <f>COUNTIFS(Clean!$D$2:$D$13,A11,Clean!$H$2:$H$13,1)</f>
        <v>2</v>
      </c>
      <c r="C11" s="12">
        <f>COUNTIFS(Clean!$D$2:$D$13,A11)</f>
        <v>4</v>
      </c>
      <c r="D11" s="24">
        <f>IF(C11=0,0,B11/C11)</f>
        <v>0.5</v>
      </c>
    </row>
    <row r="12" spans="1:7" x14ac:dyDescent="0.3">
      <c r="A12" s="25" t="s">
        <v>45</v>
      </c>
      <c r="B12" s="20">
        <f>SUM(B9:B11)</f>
        <v>8</v>
      </c>
      <c r="C12" s="20">
        <f>SUM(C9:C11)</f>
        <v>12</v>
      </c>
      <c r="D12" s="26">
        <f>IF(C12=0,0,B12/C12)</f>
        <v>0.66666666666666663</v>
      </c>
    </row>
    <row r="14" spans="1:7" ht="15.6" x14ac:dyDescent="0.3">
      <c r="A14" s="3" t="s">
        <v>46</v>
      </c>
      <c r="B14" s="3"/>
      <c r="C14" s="3"/>
      <c r="D14" s="3"/>
      <c r="E14" s="3"/>
      <c r="F14" s="3"/>
      <c r="G14" s="3"/>
    </row>
    <row r="15" spans="1:7" x14ac:dyDescent="0.3">
      <c r="A15" s="10" t="s">
        <v>47</v>
      </c>
      <c r="B15" s="10" t="s">
        <v>7</v>
      </c>
      <c r="C15" s="10" t="s">
        <v>17</v>
      </c>
      <c r="D15" s="10" t="s">
        <v>18</v>
      </c>
      <c r="E15" s="10" t="s">
        <v>48</v>
      </c>
    </row>
    <row r="16" spans="1:7" x14ac:dyDescent="0.3">
      <c r="A16" s="14" t="s">
        <v>22</v>
      </c>
      <c r="B16" s="27">
        <f>IFERROR(AVERAGEIFS(Clean!$E$2:$E$13,Clean!$G$2:$G$13,$A16,Clean!$B$2:$B$13,B$15),0)</f>
        <v>58.5</v>
      </c>
      <c r="C16" s="27">
        <f>IFERROR(AVERAGEIFS(Clean!$E$2:$E$13,Clean!$G$2:$G$13,$A16,Clean!$B$2:$B$13,C$15),0)</f>
        <v>67.5</v>
      </c>
      <c r="D16" s="27">
        <f>IFERROR(AVERAGEIFS(Clean!$E$2:$E$13,Clean!$G$2:$G$13,$A16,Clean!$B$2:$B$13,D$15),0)</f>
        <v>75</v>
      </c>
      <c r="E16" s="27">
        <f>IFERROR(AVERAGEIFS(Clean!$E$2:$E$13,Clean!$G$2:$G$13,$A16),0)</f>
        <v>67</v>
      </c>
    </row>
    <row r="17" spans="1:7" x14ac:dyDescent="0.3">
      <c r="A17" s="14" t="s">
        <v>25</v>
      </c>
      <c r="B17" s="27">
        <f>IFERROR(AVERAGEIFS(Clean!$E$2:$E$13,Clean!$G$2:$G$13,$A17,Clean!$B$2:$B$13,B$15),0)</f>
        <v>51.5</v>
      </c>
      <c r="C17" s="27">
        <f>IFERROR(AVERAGEIFS(Clean!$E$2:$E$13,Clean!$G$2:$G$13,$A17,Clean!$B$2:$B$13,C$15),0)</f>
        <v>58</v>
      </c>
      <c r="D17" s="27">
        <f>IFERROR(AVERAGEIFS(Clean!$E$2:$E$13,Clean!$G$2:$G$13,$A17,Clean!$B$2:$B$13,D$15),0)</f>
        <v>58.5</v>
      </c>
      <c r="E17" s="27">
        <f>IFERROR(AVERAGEIFS(Clean!$E$2:$E$13,Clean!$G$2:$G$13,$A17),0)</f>
        <v>56</v>
      </c>
    </row>
    <row r="18" spans="1:7" x14ac:dyDescent="0.3">
      <c r="A18" s="25" t="s">
        <v>49</v>
      </c>
      <c r="B18" s="28">
        <f>IFERROR(AVERAGEIFS(Clean!$E$2:$E$13,Clean!$B$2:$B$13,B$15),0)</f>
        <v>55</v>
      </c>
      <c r="C18" s="28">
        <f>IFERROR(AVERAGEIFS(Clean!$E$2:$E$13,Clean!$B$2:$B$13,C$15),0)</f>
        <v>62.75</v>
      </c>
      <c r="D18" s="28">
        <f>IFERROR(AVERAGEIFS(Clean!$E$2:$E$13,Clean!$B$2:$B$13,D$15),0)</f>
        <v>66.75</v>
      </c>
      <c r="E18" s="28">
        <f>AVERAGE(Clean!E2:E13)</f>
        <v>61.5</v>
      </c>
    </row>
    <row r="20" spans="1:7" ht="15.6" x14ac:dyDescent="0.3">
      <c r="A20" s="3" t="s">
        <v>50</v>
      </c>
      <c r="B20" s="3"/>
      <c r="C20" s="3"/>
      <c r="D20" s="3"/>
      <c r="E20" s="3"/>
      <c r="F20" s="3"/>
      <c r="G20" s="3"/>
    </row>
    <row r="21" spans="1:7" x14ac:dyDescent="0.3">
      <c r="A21" s="10" t="s">
        <v>51</v>
      </c>
      <c r="B21" s="10" t="s">
        <v>47</v>
      </c>
      <c r="C21" s="10" t="s">
        <v>45</v>
      </c>
      <c r="D21" s="10" t="s">
        <v>52</v>
      </c>
      <c r="E21" s="10" t="s">
        <v>44</v>
      </c>
      <c r="F21" s="10" t="s">
        <v>53</v>
      </c>
    </row>
    <row r="22" spans="1:7" x14ac:dyDescent="0.3">
      <c r="A22" s="14" t="str">
        <f>Lookup!B2</f>
        <v>Excel</v>
      </c>
      <c r="B22" s="19" t="str">
        <f>Lookup!C2</f>
        <v>Business</v>
      </c>
      <c r="C22" s="12">
        <f>COUNTIFS(Clean!$C$2:$C$13,Lookup!A2)</f>
        <v>3</v>
      </c>
      <c r="D22" s="12">
        <f>COUNTIFS(Clean!$C$2:$C$13,Lookup!A2,Clean!$H$2:$H$13,1)</f>
        <v>3</v>
      </c>
      <c r="E22" s="24">
        <f>IF(C22=0,0,D22/C22)</f>
        <v>1</v>
      </c>
      <c r="F22" s="27">
        <f>IFERROR(AVERAGEIFS(Clean!$E$2:$E$13,Clean!$C$2:$C$13,Lookup!A2),0)</f>
        <v>80.666666666666671</v>
      </c>
    </row>
    <row r="23" spans="1:7" x14ac:dyDescent="0.3">
      <c r="A23" s="14" t="str">
        <f>Lookup!B3</f>
        <v>PowerBI</v>
      </c>
      <c r="B23" s="19" t="str">
        <f>Lookup!C3</f>
        <v>Business</v>
      </c>
      <c r="C23" s="12">
        <f>COUNTIFS(Clean!$C$2:$C$13,Lookup!A3)</f>
        <v>3</v>
      </c>
      <c r="D23" s="12">
        <f>COUNTIFS(Clean!$C$2:$C$13,Lookup!A3,Clean!$H$2:$H$13,1)</f>
        <v>2</v>
      </c>
      <c r="E23" s="24">
        <f>IF(C23=0,0,D23/C23)</f>
        <v>0.66666666666666663</v>
      </c>
      <c r="F23" s="27">
        <f>IFERROR(AVERAGEIFS(Clean!$E$2:$E$13,Clean!$C$2:$C$13,Lookup!A3),0)</f>
        <v>53.333333333333336</v>
      </c>
    </row>
    <row r="24" spans="1:7" x14ac:dyDescent="0.3">
      <c r="A24" s="14" t="str">
        <f>Lookup!B4</f>
        <v>SQL</v>
      </c>
      <c r="B24" s="19" t="str">
        <f>Lookup!C4</f>
        <v>Technology</v>
      </c>
      <c r="C24" s="12">
        <f>COUNTIFS(Clean!$C$2:$C$13,Lookup!A4)</f>
        <v>3</v>
      </c>
      <c r="D24" s="12">
        <f>COUNTIFS(Clean!$C$2:$C$13,Lookup!A4,Clean!$H$2:$H$13,1)</f>
        <v>2</v>
      </c>
      <c r="E24" s="24">
        <f>IF(C24=0,0,D24/C24)</f>
        <v>0.66666666666666663</v>
      </c>
      <c r="F24" s="27">
        <f>IFERROR(AVERAGEIFS(Clean!$E$2:$E$13,Clean!$C$2:$C$13,Lookup!A4),0)</f>
        <v>62.666666666666664</v>
      </c>
    </row>
    <row r="25" spans="1:7" x14ac:dyDescent="0.3">
      <c r="A25" s="14" t="str">
        <f>Lookup!B5</f>
        <v>Python</v>
      </c>
      <c r="B25" s="19" t="str">
        <f>Lookup!C5</f>
        <v>Technology</v>
      </c>
      <c r="C25" s="12">
        <f>COUNTIFS(Clean!$C$2:$C$13,Lookup!A5)</f>
        <v>3</v>
      </c>
      <c r="D25" s="12">
        <f>COUNTIFS(Clean!$C$2:$C$13,Lookup!A5,Clean!$H$2:$H$13,1)</f>
        <v>1</v>
      </c>
      <c r="E25" s="24">
        <f>IF(C25=0,0,D25/C25)</f>
        <v>0.33333333333333331</v>
      </c>
      <c r="F25" s="27">
        <f>IFERROR(AVERAGEIFS(Clean!$E$2:$E$13,Clean!$C$2:$C$13,Lookup!A5),0)</f>
        <v>49.333333333333336</v>
      </c>
    </row>
    <row r="26" spans="1:7" x14ac:dyDescent="0.3">
      <c r="A26" s="2" t="s">
        <v>54</v>
      </c>
      <c r="B26" s="2"/>
      <c r="C26" s="2"/>
      <c r="D26" s="29" t="str">
        <f>INDEX(A22:A25,MATCH(MIN(E22:E25),E22:E25,0))</f>
        <v>Python</v>
      </c>
      <c r="E26" s="29" t="str">
        <f>INDEX(D22:D25,MATCH(MIN(E22:E25),E22:E25,0))&amp;" / "&amp;INDEX(C22:C25,MATCH(MIN(E22:E25),E22:E25,0))</f>
        <v>1 / 3</v>
      </c>
      <c r="F26" s="30">
        <f>MIN(E22:E25)</f>
        <v>0.33333333333333331</v>
      </c>
    </row>
    <row r="27" spans="1:7" x14ac:dyDescent="0.3">
      <c r="A27" s="31" t="s">
        <v>55</v>
      </c>
    </row>
    <row r="29" spans="1:7" ht="15.6" x14ac:dyDescent="0.3">
      <c r="A29" s="3" t="s">
        <v>56</v>
      </c>
      <c r="B29" s="3"/>
      <c r="C29" s="3"/>
      <c r="D29" s="3"/>
      <c r="E29" s="3"/>
      <c r="F29" s="3"/>
      <c r="G29" s="3"/>
    </row>
    <row r="49" spans="1:7" ht="15" customHeight="1" x14ac:dyDescent="0.3">
      <c r="A49" s="1" t="s">
        <v>57</v>
      </c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</sheetData>
  <mergeCells count="14">
    <mergeCell ref="A20:G20"/>
    <mergeCell ref="A26:C26"/>
    <mergeCell ref="A29:G29"/>
    <mergeCell ref="A49:G50"/>
    <mergeCell ref="A5:B5"/>
    <mergeCell ref="C5:D5"/>
    <mergeCell ref="E5:F5"/>
    <mergeCell ref="A7:G7"/>
    <mergeCell ref="A14:G14"/>
    <mergeCell ref="A1:G1"/>
    <mergeCell ref="A2:G2"/>
    <mergeCell ref="A4:B4"/>
    <mergeCell ref="C4:D4"/>
    <mergeCell ref="E4:F4"/>
  </mergeCells>
  <pageMargins left="0.75" right="0.75" top="1" bottom="1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1</cp:revision>
  <dcterms:created xsi:type="dcterms:W3CDTF">2026-10-03T04:23:23Z</dcterms:created>
  <dcterms:modified xsi:type="dcterms:W3CDTF">2026-10-03T04:29:37Z</dcterms:modified>
  <dc:language>en-US</dc:language>
</cp:coreProperties>
</file>